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ownloads\"/>
    </mc:Choice>
  </mc:AlternateContent>
  <xr:revisionPtr revIDLastSave="0" documentId="8_{12FCE093-4A73-4CCD-860A-3A655A0F337F}" xr6:coauthVersionLast="47" xr6:coauthVersionMax="47" xr10:uidLastSave="{00000000-0000-0000-0000-000000000000}"/>
  <bookViews>
    <workbookView xWindow="-28920" yWindow="-120" windowWidth="29040" windowHeight="15720" xr2:uid="{6037E86D-DA4B-4B01-8CFB-961EC1FE1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A01348-9596-4140-8D09-B87728A5F4D9}" keepAlive="1" name="Query - Table052 (Page 45)" description="Connection to the 'Table052 (Page 45)' query in the workbook." type="5" refreshedVersion="8" background="1" saveData="1">
    <dbPr connection="Provider=Microsoft.Mashup.OleDb.1;Data Source=$Workbook$;Location=&quot;Table052 (Page 45)&quot;;Extended Properties=&quot;&quot;" command="SELECT * FROM [Table052 (Page 45)]"/>
  </connection>
</connections>
</file>

<file path=xl/sharedStrings.xml><?xml version="1.0" encoding="utf-8"?>
<sst xmlns="http://schemas.openxmlformats.org/spreadsheetml/2006/main" count="65" uniqueCount="51">
  <si>
    <t>Revenue</t>
  </si>
  <si>
    <t>Taxes</t>
  </si>
  <si>
    <t>Taxes on property</t>
  </si>
  <si>
    <t>Taxes on goods and services</t>
  </si>
  <si>
    <t>Other taxes</t>
  </si>
  <si>
    <t>Grants</t>
  </si>
  <si>
    <t>Current</t>
  </si>
  <si>
    <t>Capital</t>
  </si>
  <si>
    <t>Other revenue</t>
  </si>
  <si>
    <t>Property income [GFS]</t>
  </si>
  <si>
    <t>Sales of goods and services</t>
  </si>
  <si>
    <t>Fines, penalties, and forfeits</t>
  </si>
  <si>
    <t>Voluntary transfers other than grants</t>
  </si>
  <si>
    <t>Miscellaneous and unidentified revenue</t>
  </si>
  <si>
    <t>Expense</t>
  </si>
  <si>
    <t>Compensation of employees</t>
  </si>
  <si>
    <t>Wages and salaries</t>
  </si>
  <si>
    <t>Social contributions</t>
  </si>
  <si>
    <t>Use of goods and services</t>
  </si>
  <si>
    <t>Interest</t>
  </si>
  <si>
    <t>Subsidies</t>
  </si>
  <si>
    <t>Subsidies to public corporations</t>
  </si>
  <si>
    <t>Subsidies to private enterprises</t>
  </si>
  <si>
    <t>Social benefits</t>
  </si>
  <si>
    <t>Other expense</t>
  </si>
  <si>
    <t>Gross Operating Balance</t>
  </si>
  <si>
    <t>Net Acquisition Of Nonfinancial Assets</t>
  </si>
  <si>
    <t>Fixed assets</t>
  </si>
  <si>
    <t>Buildings and structures</t>
  </si>
  <si>
    <t>Machinery and equipment</t>
  </si>
  <si>
    <t>Other fixed assets</t>
  </si>
  <si>
    <t>Nonproduced assets</t>
  </si>
  <si>
    <t>Net Lending/Borrowing Requirement</t>
  </si>
  <si>
    <t>Financial Assets</t>
  </si>
  <si>
    <t>Domestic</t>
  </si>
  <si>
    <t>Currency and deposits</t>
  </si>
  <si>
    <t>Loans</t>
  </si>
  <si>
    <t>Shares and other equity</t>
  </si>
  <si>
    <t>Financial Liabilities</t>
  </si>
  <si>
    <t>Repayments</t>
  </si>
  <si>
    <t>Foreign</t>
  </si>
  <si>
    <t>Category</t>
  </si>
  <si>
    <t>GFS Code</t>
  </si>
  <si>
    <t>Taxes on income, profits, and capital gains</t>
  </si>
  <si>
    <t>Taxes on international trade and transacitons</t>
  </si>
  <si>
    <t xml:space="preserve">To nonresidents </t>
  </si>
  <si>
    <t>To residents other than general government</t>
  </si>
  <si>
    <t>Parent Code</t>
  </si>
  <si>
    <t>Level</t>
  </si>
  <si>
    <t>-</t>
  </si>
  <si>
    <t>Net Acquisition Of Financial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</si>
</sst>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0" xfId="0" applyFont="1" applyFill="1" applyBorder="1"/>
    <xf numFmtId="0" fontId="0" fillId="5" borderId="0" xfId="0" applyFont="1" applyFill="1" applyBorder="1"/>
    <xf numFmtId="0" fontId="1" fillId="3" borderId="0" xfId="0" applyFont="1" applyFill="1" applyBorder="1"/>
    <xf numFmtId="0" fontId="0" fillId="2" borderId="1" xfId="0" applyFill="1" applyBorder="1"/>
    <xf numFmtId="0" fontId="0" fillId="0" borderId="1" xfId="0" applyBorder="1"/>
    <xf numFmtId="0" fontId="0" fillId="5" borderId="0" xfId="0" applyFont="1" applyFill="1" applyBorder="1" applyAlignment="1">
      <alignment horizontal="left" indent="2"/>
    </xf>
    <xf numFmtId="0" fontId="0" fillId="4" borderId="0" xfId="0" applyFont="1" applyFill="1" applyBorder="1" applyAlignment="1">
      <alignment horizontal="left" indent="2"/>
    </xf>
    <xf numFmtId="0" fontId="0" fillId="6" borderId="2" xfId="0" applyFill="1" applyBorder="1"/>
    <xf numFmtId="0" fontId="0" fillId="7" borderId="2" xfId="0" applyFill="1" applyBorder="1"/>
    <xf numFmtId="0" fontId="0" fillId="7" borderId="3" xfId="0" applyFill="1" applyBorder="1"/>
    <xf numFmtId="0" fontId="1" fillId="5" borderId="0" xfId="0" applyFont="1" applyFill="1" applyBorder="1"/>
    <xf numFmtId="0" fontId="0" fillId="5" borderId="0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D57D-C371-4DA1-AE3A-6FA86D2011AA}">
  <dimension ref="A2:M56"/>
  <sheetViews>
    <sheetView tabSelected="1" workbookViewId="0">
      <selection activeCell="A18" sqref="A18"/>
    </sheetView>
  </sheetViews>
  <sheetFormatPr defaultRowHeight="14.4" x14ac:dyDescent="0.3"/>
  <cols>
    <col min="2" max="2" width="11.21875" bestFit="1" customWidth="1"/>
    <col min="3" max="3" width="42.6640625" bestFit="1" customWidth="1"/>
    <col min="4" max="4" width="42.6640625" customWidth="1"/>
    <col min="5" max="5" width="16.109375" bestFit="1" customWidth="1"/>
    <col min="6" max="6" width="26.33203125" bestFit="1" customWidth="1"/>
    <col min="7" max="7" width="26.109375" bestFit="1" customWidth="1"/>
    <col min="8" max="9" width="19.88671875" bestFit="1" customWidth="1"/>
  </cols>
  <sheetData>
    <row r="2" spans="1:13" x14ac:dyDescent="0.3">
      <c r="A2" t="s">
        <v>42</v>
      </c>
      <c r="B2" t="s">
        <v>47</v>
      </c>
      <c r="C2" s="3" t="s">
        <v>41</v>
      </c>
      <c r="D2" s="3" t="s">
        <v>48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M2" s="3">
        <v>2026</v>
      </c>
    </row>
    <row r="3" spans="1:13" x14ac:dyDescent="0.3">
      <c r="A3">
        <v>1</v>
      </c>
      <c r="B3" t="str">
        <f>IF(A3="","",IF(LEN(A3)=1,"",LEFT(A3,LEN(A3)-1)))</f>
        <v/>
      </c>
      <c r="C3" s="1" t="s">
        <v>0</v>
      </c>
      <c r="D3" s="13">
        <f>LEN(A3)</f>
        <v>1</v>
      </c>
      <c r="E3" s="4">
        <v>457.2</v>
      </c>
      <c r="F3" s="4">
        <v>485.2</v>
      </c>
      <c r="G3" s="1">
        <v>512.9</v>
      </c>
      <c r="H3" s="1">
        <v>502.8</v>
      </c>
      <c r="I3" s="1">
        <v>556.5</v>
      </c>
      <c r="J3" s="8">
        <v>652.5</v>
      </c>
      <c r="K3" s="8">
        <v>681.4</v>
      </c>
      <c r="L3" s="8">
        <v>870.7</v>
      </c>
      <c r="M3" s="8">
        <v>820.1</v>
      </c>
    </row>
    <row r="4" spans="1:13" x14ac:dyDescent="0.3">
      <c r="A4">
        <v>11</v>
      </c>
      <c r="B4" t="str">
        <f t="shared" ref="B4:B54" si="0">IF(A4="","",IF(LEN(A4)=1,"",LEFT(A4,LEN(A4)-1)))</f>
        <v>1</v>
      </c>
      <c r="C4" s="2" t="s">
        <v>1</v>
      </c>
      <c r="D4" s="13">
        <f t="shared" ref="D4:D54" si="1">LEN(A4)</f>
        <v>2</v>
      </c>
      <c r="E4" s="5">
        <v>235.4</v>
      </c>
      <c r="F4" s="5">
        <v>243</v>
      </c>
      <c r="G4" s="2">
        <v>236.7</v>
      </c>
      <c r="H4" s="2">
        <v>257.8</v>
      </c>
      <c r="I4" s="2">
        <v>274.8</v>
      </c>
      <c r="J4" s="9">
        <v>285.5</v>
      </c>
      <c r="K4" s="9">
        <v>291.8</v>
      </c>
      <c r="L4" s="9">
        <v>327.7</v>
      </c>
      <c r="M4" s="9">
        <v>333.3</v>
      </c>
    </row>
    <row r="5" spans="1:13" x14ac:dyDescent="0.3">
      <c r="A5">
        <v>111</v>
      </c>
      <c r="B5" t="str">
        <f t="shared" si="0"/>
        <v>11</v>
      </c>
      <c r="C5" s="7" t="s">
        <v>43</v>
      </c>
      <c r="D5" s="13">
        <f t="shared" si="1"/>
        <v>3</v>
      </c>
      <c r="E5" s="4">
        <v>48.8</v>
      </c>
      <c r="F5" s="4">
        <v>55.2</v>
      </c>
      <c r="G5" s="1"/>
      <c r="H5" s="1"/>
      <c r="I5" s="1"/>
      <c r="J5" s="8">
        <v>58</v>
      </c>
      <c r="K5" s="8">
        <v>63.8</v>
      </c>
      <c r="L5" s="8">
        <v>68.8</v>
      </c>
      <c r="M5" s="8">
        <v>72.900000000000006</v>
      </c>
    </row>
    <row r="6" spans="1:13" x14ac:dyDescent="0.3">
      <c r="A6">
        <v>113</v>
      </c>
      <c r="B6" t="str">
        <f t="shared" si="0"/>
        <v>11</v>
      </c>
      <c r="C6" s="7" t="s">
        <v>2</v>
      </c>
      <c r="D6" s="13">
        <f t="shared" si="1"/>
        <v>3</v>
      </c>
      <c r="E6" s="5">
        <v>0.3</v>
      </c>
      <c r="F6" s="5">
        <v>0.3</v>
      </c>
      <c r="G6" s="2">
        <v>54.6</v>
      </c>
      <c r="H6" s="2">
        <v>57.3</v>
      </c>
      <c r="I6" s="2">
        <v>58.1</v>
      </c>
      <c r="J6" s="9">
        <v>0.4</v>
      </c>
      <c r="K6" s="9">
        <v>0.5</v>
      </c>
      <c r="L6" s="9">
        <v>0.5</v>
      </c>
      <c r="M6" s="9">
        <v>0.5</v>
      </c>
    </row>
    <row r="7" spans="1:13" x14ac:dyDescent="0.3">
      <c r="A7">
        <v>114</v>
      </c>
      <c r="B7" t="str">
        <f t="shared" si="0"/>
        <v>11</v>
      </c>
      <c r="C7" s="6" t="s">
        <v>3</v>
      </c>
      <c r="D7" s="13">
        <f t="shared" si="1"/>
        <v>3</v>
      </c>
      <c r="E7" s="4">
        <v>157.6</v>
      </c>
      <c r="F7" s="4">
        <v>155.30000000000001</v>
      </c>
      <c r="G7" s="1">
        <v>0.3</v>
      </c>
      <c r="H7" s="1">
        <v>0.3</v>
      </c>
      <c r="I7" s="1">
        <v>0.3</v>
      </c>
      <c r="J7" s="8">
        <v>195.6</v>
      </c>
      <c r="K7" s="8">
        <v>196.6</v>
      </c>
      <c r="L7" s="8">
        <v>215.7</v>
      </c>
      <c r="M7" s="8">
        <v>223.4</v>
      </c>
    </row>
    <row r="8" spans="1:13" x14ac:dyDescent="0.3">
      <c r="A8">
        <v>115</v>
      </c>
      <c r="B8" t="str">
        <f t="shared" si="0"/>
        <v>11</v>
      </c>
      <c r="C8" s="7" t="s">
        <v>44</v>
      </c>
      <c r="D8" s="13">
        <f t="shared" si="1"/>
        <v>3</v>
      </c>
      <c r="E8" s="5">
        <v>28.7</v>
      </c>
      <c r="F8" s="5">
        <v>32.200000000000003</v>
      </c>
      <c r="G8" s="2">
        <v>157.9</v>
      </c>
      <c r="H8" s="2">
        <v>170.3</v>
      </c>
      <c r="I8" s="2">
        <v>183.7</v>
      </c>
      <c r="J8" s="9">
        <v>31.6</v>
      </c>
      <c r="K8" s="9">
        <v>31</v>
      </c>
      <c r="L8" s="9">
        <v>42.7</v>
      </c>
      <c r="M8" s="9">
        <v>36.5</v>
      </c>
    </row>
    <row r="9" spans="1:13" x14ac:dyDescent="0.3">
      <c r="A9">
        <v>116</v>
      </c>
      <c r="B9" t="str">
        <f t="shared" si="0"/>
        <v>11</v>
      </c>
      <c r="C9" s="1" t="s">
        <v>4</v>
      </c>
      <c r="D9" s="13">
        <f t="shared" si="1"/>
        <v>3</v>
      </c>
      <c r="E9" s="4"/>
      <c r="F9" s="4">
        <v>0</v>
      </c>
      <c r="G9" s="1"/>
      <c r="H9" s="1"/>
      <c r="I9" s="1"/>
      <c r="J9" s="8">
        <v>0</v>
      </c>
      <c r="K9" s="8" t="s">
        <v>49</v>
      </c>
      <c r="L9" s="8" t="s">
        <v>49</v>
      </c>
      <c r="M9" s="8" t="s">
        <v>49</v>
      </c>
    </row>
    <row r="10" spans="1:13" x14ac:dyDescent="0.3">
      <c r="A10">
        <v>13</v>
      </c>
      <c r="B10" t="str">
        <f t="shared" si="0"/>
        <v>1</v>
      </c>
      <c r="C10" s="2" t="s">
        <v>5</v>
      </c>
      <c r="D10" s="13">
        <f t="shared" si="1"/>
        <v>2</v>
      </c>
      <c r="E10" s="5">
        <v>190.8</v>
      </c>
      <c r="F10" s="5">
        <v>212.5</v>
      </c>
      <c r="G10" s="2">
        <v>23.8</v>
      </c>
      <c r="H10" s="2">
        <v>29.9</v>
      </c>
      <c r="I10" s="2">
        <v>32.700000000000003</v>
      </c>
      <c r="J10" s="9">
        <v>336.4</v>
      </c>
      <c r="K10" s="9">
        <v>347.2</v>
      </c>
      <c r="L10" s="9">
        <v>488.5</v>
      </c>
      <c r="M10" s="9">
        <v>425.8</v>
      </c>
    </row>
    <row r="11" spans="1:13" x14ac:dyDescent="0.3">
      <c r="A11">
        <v>131</v>
      </c>
      <c r="B11" t="str">
        <f t="shared" si="0"/>
        <v>13</v>
      </c>
      <c r="C11" s="7" t="s">
        <v>6</v>
      </c>
      <c r="D11" s="13">
        <f t="shared" si="1"/>
        <v>3</v>
      </c>
      <c r="E11" s="4">
        <v>14.4</v>
      </c>
      <c r="F11" s="4">
        <v>34.9</v>
      </c>
      <c r="G11" s="1">
        <v>0</v>
      </c>
      <c r="H11" s="1">
        <v>0</v>
      </c>
      <c r="I11" s="1">
        <v>0</v>
      </c>
      <c r="J11" s="8">
        <v>53.7</v>
      </c>
      <c r="K11" s="8">
        <v>48.2</v>
      </c>
      <c r="L11" s="8">
        <v>72.349999999999994</v>
      </c>
      <c r="M11" s="8">
        <v>63.5</v>
      </c>
    </row>
    <row r="12" spans="1:13" x14ac:dyDescent="0.3">
      <c r="A12">
        <v>132</v>
      </c>
      <c r="B12" t="str">
        <f t="shared" si="0"/>
        <v>13</v>
      </c>
      <c r="C12" s="6" t="s">
        <v>7</v>
      </c>
      <c r="D12" s="13">
        <f t="shared" si="1"/>
        <v>3</v>
      </c>
      <c r="E12" s="5">
        <v>176.4</v>
      </c>
      <c r="F12" s="5">
        <v>177.6</v>
      </c>
      <c r="G12" s="2">
        <v>247.9</v>
      </c>
      <c r="H12" s="2">
        <v>209.6</v>
      </c>
      <c r="I12" s="2">
        <v>243.6</v>
      </c>
      <c r="J12" s="9">
        <v>282.7</v>
      </c>
      <c r="K12" s="9">
        <v>299</v>
      </c>
      <c r="L12" s="9">
        <v>416.1</v>
      </c>
      <c r="M12" s="9">
        <v>362.3</v>
      </c>
    </row>
    <row r="13" spans="1:13" x14ac:dyDescent="0.3">
      <c r="A13">
        <v>14</v>
      </c>
      <c r="B13" t="str">
        <f t="shared" si="0"/>
        <v>1</v>
      </c>
      <c r="C13" s="1" t="s">
        <v>8</v>
      </c>
      <c r="D13" s="13">
        <f t="shared" si="1"/>
        <v>2</v>
      </c>
      <c r="E13" s="4">
        <v>31</v>
      </c>
      <c r="F13" s="4">
        <v>29.6</v>
      </c>
      <c r="G13" s="1">
        <v>38.5</v>
      </c>
      <c r="H13" s="1">
        <v>38.5</v>
      </c>
      <c r="I13" s="1">
        <v>38.5</v>
      </c>
      <c r="J13" s="8">
        <v>30.5</v>
      </c>
      <c r="K13" s="8">
        <v>42.3</v>
      </c>
      <c r="L13" s="8">
        <v>54.5</v>
      </c>
      <c r="M13" s="8">
        <v>61</v>
      </c>
    </row>
    <row r="14" spans="1:13" x14ac:dyDescent="0.3">
      <c r="A14">
        <v>141</v>
      </c>
      <c r="B14" t="str">
        <f t="shared" si="0"/>
        <v>14</v>
      </c>
      <c r="C14" s="6" t="s">
        <v>9</v>
      </c>
      <c r="D14" s="13">
        <f t="shared" si="1"/>
        <v>3</v>
      </c>
      <c r="E14" s="5">
        <v>10.8</v>
      </c>
      <c r="F14" s="5">
        <v>10.1</v>
      </c>
      <c r="G14" s="2">
        <v>209.4</v>
      </c>
      <c r="H14" s="2">
        <v>171.1</v>
      </c>
      <c r="I14" s="2">
        <v>205.1</v>
      </c>
      <c r="J14" s="9">
        <v>11.4</v>
      </c>
      <c r="K14" s="9">
        <v>9.8000000000000007</v>
      </c>
      <c r="L14" s="9">
        <v>12.7</v>
      </c>
      <c r="M14" s="9">
        <v>15.1</v>
      </c>
    </row>
    <row r="15" spans="1:13" x14ac:dyDescent="0.3">
      <c r="A15">
        <v>142</v>
      </c>
      <c r="B15" t="str">
        <f t="shared" si="0"/>
        <v>14</v>
      </c>
      <c r="C15" s="7" t="s">
        <v>10</v>
      </c>
      <c r="D15" s="13">
        <f t="shared" si="1"/>
        <v>3</v>
      </c>
      <c r="E15" s="4">
        <v>13.8</v>
      </c>
      <c r="F15" s="4">
        <v>15.3</v>
      </c>
      <c r="G15" s="1">
        <v>28.3</v>
      </c>
      <c r="H15" s="1">
        <v>35.4</v>
      </c>
      <c r="I15" s="1">
        <v>38.1</v>
      </c>
      <c r="J15" s="8">
        <v>16.399999999999999</v>
      </c>
      <c r="K15" s="8">
        <v>15.6</v>
      </c>
      <c r="L15" s="8">
        <v>21.2</v>
      </c>
      <c r="M15" s="8">
        <v>23.1</v>
      </c>
    </row>
    <row r="16" spans="1:13" x14ac:dyDescent="0.3">
      <c r="A16">
        <v>143</v>
      </c>
      <c r="B16" t="str">
        <f t="shared" si="0"/>
        <v>14</v>
      </c>
      <c r="C16" s="6" t="s">
        <v>11</v>
      </c>
      <c r="D16" s="13">
        <f t="shared" si="1"/>
        <v>3</v>
      </c>
      <c r="E16" s="5">
        <v>0.8</v>
      </c>
      <c r="F16" s="5">
        <v>0.7</v>
      </c>
      <c r="G16" s="2">
        <v>9.3000000000000007</v>
      </c>
      <c r="H16" s="2">
        <v>13.4</v>
      </c>
      <c r="I16" s="2">
        <v>14.9</v>
      </c>
      <c r="J16" s="9">
        <v>0.8</v>
      </c>
      <c r="K16" s="9">
        <v>0.9</v>
      </c>
      <c r="L16" s="9">
        <v>1.1000000000000001</v>
      </c>
      <c r="M16" s="9">
        <v>1.2</v>
      </c>
    </row>
    <row r="17" spans="1:13" x14ac:dyDescent="0.3">
      <c r="A17">
        <v>144</v>
      </c>
      <c r="B17" t="str">
        <f t="shared" si="0"/>
        <v>14</v>
      </c>
      <c r="C17" s="7" t="s">
        <v>12</v>
      </c>
      <c r="D17" s="13">
        <f t="shared" si="1"/>
        <v>3</v>
      </c>
      <c r="E17" s="4">
        <v>0</v>
      </c>
      <c r="F17" s="4">
        <v>0</v>
      </c>
      <c r="G17" s="1">
        <v>14.9</v>
      </c>
      <c r="H17" s="1">
        <v>16</v>
      </c>
      <c r="I17" s="1">
        <v>17.100000000000001</v>
      </c>
      <c r="J17" s="8">
        <v>0.1</v>
      </c>
      <c r="K17" s="8">
        <v>0.4</v>
      </c>
      <c r="L17" s="8">
        <v>0</v>
      </c>
      <c r="M17" s="8" t="s">
        <v>49</v>
      </c>
    </row>
    <row r="18" spans="1:13" x14ac:dyDescent="0.3">
      <c r="B18" t="str">
        <f t="shared" si="0"/>
        <v/>
      </c>
      <c r="C18" s="6" t="s">
        <v>13</v>
      </c>
      <c r="D18" s="13">
        <f t="shared" si="1"/>
        <v>0</v>
      </c>
      <c r="E18" s="5">
        <v>5.6</v>
      </c>
      <c r="F18" s="5">
        <v>3.4</v>
      </c>
      <c r="G18" s="2">
        <v>1.2</v>
      </c>
      <c r="H18" s="2">
        <v>1.2</v>
      </c>
      <c r="I18" s="2">
        <v>1.2</v>
      </c>
      <c r="J18" s="9">
        <v>1.9</v>
      </c>
      <c r="K18" s="9">
        <v>15.6</v>
      </c>
      <c r="L18" s="9">
        <v>19.600000000000001</v>
      </c>
      <c r="M18" s="9">
        <v>21.6</v>
      </c>
    </row>
    <row r="19" spans="1:13" x14ac:dyDescent="0.3">
      <c r="A19">
        <v>2</v>
      </c>
      <c r="B19" t="str">
        <f t="shared" si="0"/>
        <v/>
      </c>
      <c r="C19" s="1" t="s">
        <v>14</v>
      </c>
      <c r="D19" s="13">
        <f t="shared" si="1"/>
        <v>1</v>
      </c>
      <c r="E19" s="4">
        <v>336.5</v>
      </c>
      <c r="F19" s="4">
        <v>352.2</v>
      </c>
      <c r="G19" s="1">
        <v>0.1</v>
      </c>
      <c r="H19" s="1">
        <v>0.1</v>
      </c>
      <c r="I19" s="1">
        <v>0.1</v>
      </c>
      <c r="J19" s="8">
        <v>483.8</v>
      </c>
      <c r="K19" s="8">
        <v>484.3</v>
      </c>
      <c r="L19" s="8">
        <v>595.20000000000005</v>
      </c>
      <c r="M19" s="8">
        <v>515.20000000000005</v>
      </c>
    </row>
    <row r="20" spans="1:13" x14ac:dyDescent="0.3">
      <c r="A20">
        <v>21</v>
      </c>
      <c r="B20" t="str">
        <f t="shared" si="0"/>
        <v>2</v>
      </c>
      <c r="C20" s="6" t="s">
        <v>15</v>
      </c>
      <c r="D20" s="13">
        <f t="shared" si="1"/>
        <v>2</v>
      </c>
      <c r="E20" s="5">
        <v>127.5</v>
      </c>
      <c r="F20" s="5">
        <v>134.5</v>
      </c>
      <c r="G20" s="2">
        <v>2.8</v>
      </c>
      <c r="H20" s="2">
        <v>4.7</v>
      </c>
      <c r="I20" s="2">
        <v>4.7</v>
      </c>
      <c r="J20" s="9">
        <v>163.5</v>
      </c>
      <c r="K20" s="9">
        <v>164.6</v>
      </c>
      <c r="L20" s="9">
        <v>189.4</v>
      </c>
      <c r="M20" s="9">
        <v>188.4</v>
      </c>
    </row>
    <row r="21" spans="1:13" x14ac:dyDescent="0.3">
      <c r="A21">
        <v>211</v>
      </c>
      <c r="B21" t="str">
        <f t="shared" si="0"/>
        <v>21</v>
      </c>
      <c r="C21" s="7" t="s">
        <v>16</v>
      </c>
      <c r="D21" s="13">
        <f t="shared" si="1"/>
        <v>3</v>
      </c>
      <c r="E21" s="4">
        <v>116.9</v>
      </c>
      <c r="F21" s="4">
        <v>123.4</v>
      </c>
      <c r="G21" s="1">
        <v>495.8</v>
      </c>
      <c r="H21" s="1">
        <v>423.5</v>
      </c>
      <c r="I21" s="1">
        <v>431.5</v>
      </c>
      <c r="J21" s="8">
        <v>151.4</v>
      </c>
      <c r="K21" s="8">
        <v>152.9</v>
      </c>
      <c r="L21" s="8">
        <v>175.1</v>
      </c>
      <c r="M21" s="8">
        <v>174.1</v>
      </c>
    </row>
    <row r="22" spans="1:13" x14ac:dyDescent="0.3">
      <c r="A22">
        <v>212</v>
      </c>
      <c r="B22" t="str">
        <f t="shared" si="0"/>
        <v>21</v>
      </c>
      <c r="C22" s="6" t="s">
        <v>17</v>
      </c>
      <c r="D22" s="13">
        <f t="shared" si="1"/>
        <v>3</v>
      </c>
      <c r="E22" s="5">
        <v>10.7</v>
      </c>
      <c r="F22" s="5">
        <v>11.2</v>
      </c>
      <c r="G22" s="2">
        <v>166.6</v>
      </c>
      <c r="H22" s="2">
        <v>167.2</v>
      </c>
      <c r="I22" s="2">
        <v>166.9</v>
      </c>
      <c r="J22" s="9">
        <v>12.1</v>
      </c>
      <c r="K22" s="9">
        <v>11.7</v>
      </c>
      <c r="L22" s="9">
        <v>14.3</v>
      </c>
      <c r="M22" s="9">
        <v>14.3</v>
      </c>
    </row>
    <row r="23" spans="1:13" x14ac:dyDescent="0.3">
      <c r="A23">
        <v>22</v>
      </c>
      <c r="B23" t="str">
        <f t="shared" si="0"/>
        <v>2</v>
      </c>
      <c r="C23" s="7" t="s">
        <v>18</v>
      </c>
      <c r="D23" s="13">
        <f t="shared" si="1"/>
        <v>2</v>
      </c>
      <c r="E23" s="4">
        <v>152.30000000000001</v>
      </c>
      <c r="F23" s="4">
        <v>151</v>
      </c>
      <c r="G23" s="1">
        <v>153.80000000000001</v>
      </c>
      <c r="H23" s="1">
        <v>154.4</v>
      </c>
      <c r="I23" s="1">
        <v>154.1</v>
      </c>
      <c r="J23" s="8">
        <v>225.1</v>
      </c>
      <c r="K23" s="8">
        <v>224.9</v>
      </c>
      <c r="L23" s="8">
        <v>278.7</v>
      </c>
      <c r="M23" s="8">
        <v>233.2</v>
      </c>
    </row>
    <row r="24" spans="1:13" x14ac:dyDescent="0.3">
      <c r="A24">
        <v>24</v>
      </c>
      <c r="B24" t="str">
        <f t="shared" si="0"/>
        <v>2</v>
      </c>
      <c r="C24" s="2" t="s">
        <v>19</v>
      </c>
      <c r="D24" s="13">
        <f t="shared" si="1"/>
        <v>2</v>
      </c>
      <c r="E24" s="5">
        <v>8.3000000000000007</v>
      </c>
      <c r="F24" s="5">
        <v>8</v>
      </c>
      <c r="G24" s="2">
        <v>12.8</v>
      </c>
      <c r="H24" s="2">
        <v>12.8</v>
      </c>
      <c r="I24" s="2">
        <v>12.8</v>
      </c>
      <c r="J24" s="9">
        <v>8.1999999999999993</v>
      </c>
      <c r="K24" s="9">
        <v>7.4</v>
      </c>
      <c r="L24" s="9">
        <v>6.9</v>
      </c>
      <c r="M24" s="9">
        <v>6.1</v>
      </c>
    </row>
    <row r="25" spans="1:13" x14ac:dyDescent="0.3">
      <c r="A25">
        <v>241</v>
      </c>
      <c r="B25" t="str">
        <f t="shared" si="0"/>
        <v>24</v>
      </c>
      <c r="C25" s="7" t="s">
        <v>45</v>
      </c>
      <c r="D25" s="13">
        <f t="shared" si="1"/>
        <v>3</v>
      </c>
      <c r="E25" s="4">
        <v>6.5</v>
      </c>
      <c r="F25" s="4">
        <v>6.3</v>
      </c>
      <c r="G25" s="1">
        <v>261.39999999999998</v>
      </c>
      <c r="H25" s="1">
        <v>189.6</v>
      </c>
      <c r="I25" s="1">
        <v>197.2</v>
      </c>
      <c r="J25" s="8">
        <v>6.2</v>
      </c>
      <c r="K25" s="8">
        <v>5.7</v>
      </c>
      <c r="L25" s="8">
        <v>4.8</v>
      </c>
      <c r="M25" s="8">
        <v>3.9</v>
      </c>
    </row>
    <row r="26" spans="1:13" x14ac:dyDescent="0.3">
      <c r="A26">
        <v>242</v>
      </c>
      <c r="B26" t="str">
        <f t="shared" si="0"/>
        <v>24</v>
      </c>
      <c r="C26" s="6" t="s">
        <v>46</v>
      </c>
      <c r="D26" s="13">
        <f t="shared" si="1"/>
        <v>3</v>
      </c>
      <c r="E26" s="5">
        <v>1.8</v>
      </c>
      <c r="F26" s="5">
        <v>1.7</v>
      </c>
      <c r="G26" s="2">
        <v>8.8000000000000007</v>
      </c>
      <c r="H26" s="2">
        <v>8.6</v>
      </c>
      <c r="I26" s="2">
        <v>8.3000000000000007</v>
      </c>
      <c r="J26" s="9">
        <v>2</v>
      </c>
      <c r="K26" s="9">
        <v>1.7</v>
      </c>
      <c r="L26" s="9">
        <v>2.1</v>
      </c>
      <c r="M26" s="9">
        <v>2.1</v>
      </c>
    </row>
    <row r="27" spans="1:13" x14ac:dyDescent="0.3">
      <c r="A27">
        <v>25</v>
      </c>
      <c r="B27" t="str">
        <f t="shared" si="0"/>
        <v>2</v>
      </c>
      <c r="C27" s="1" t="s">
        <v>20</v>
      </c>
      <c r="D27" s="13">
        <f t="shared" si="1"/>
        <v>2</v>
      </c>
      <c r="E27" s="4">
        <v>0.8</v>
      </c>
      <c r="F27" s="4">
        <v>0.9</v>
      </c>
      <c r="G27" s="1">
        <v>6.4</v>
      </c>
      <c r="H27" s="1">
        <v>6.2</v>
      </c>
      <c r="I27" s="1">
        <v>5.9</v>
      </c>
      <c r="J27" s="8">
        <v>1.2</v>
      </c>
      <c r="K27" s="8">
        <v>1.1000000000000001</v>
      </c>
      <c r="L27" s="8">
        <v>1.3</v>
      </c>
      <c r="M27" s="8">
        <v>1.3</v>
      </c>
    </row>
    <row r="28" spans="1:13" x14ac:dyDescent="0.3">
      <c r="A28">
        <v>251</v>
      </c>
      <c r="B28" t="str">
        <f t="shared" si="0"/>
        <v>25</v>
      </c>
      <c r="C28" s="6" t="s">
        <v>21</v>
      </c>
      <c r="D28" s="13">
        <f t="shared" si="1"/>
        <v>3</v>
      </c>
      <c r="E28" s="5">
        <v>0</v>
      </c>
      <c r="F28" s="5">
        <v>0</v>
      </c>
      <c r="G28" s="2">
        <v>2.4</v>
      </c>
      <c r="H28" s="2">
        <v>2.4</v>
      </c>
      <c r="I28" s="2">
        <v>2.4</v>
      </c>
      <c r="J28" s="9">
        <v>0</v>
      </c>
      <c r="K28" s="9" t="s">
        <v>49</v>
      </c>
      <c r="L28" s="9" t="s">
        <v>49</v>
      </c>
      <c r="M28" s="9" t="s">
        <v>49</v>
      </c>
    </row>
    <row r="29" spans="1:13" x14ac:dyDescent="0.3">
      <c r="A29">
        <v>252</v>
      </c>
      <c r="B29" t="str">
        <f t="shared" si="0"/>
        <v>25</v>
      </c>
      <c r="C29" s="7" t="s">
        <v>22</v>
      </c>
      <c r="D29" s="13">
        <f t="shared" si="1"/>
        <v>3</v>
      </c>
      <c r="E29" s="4">
        <v>0.8</v>
      </c>
      <c r="F29" s="4">
        <v>0.9</v>
      </c>
      <c r="G29" s="1">
        <v>0.9</v>
      </c>
      <c r="H29" s="1">
        <v>0.9</v>
      </c>
      <c r="I29" s="1">
        <v>0.9</v>
      </c>
      <c r="J29" s="8">
        <v>1.2</v>
      </c>
      <c r="K29" s="8">
        <v>1.1000000000000001</v>
      </c>
      <c r="L29" s="8">
        <v>1.3</v>
      </c>
      <c r="M29" s="8">
        <v>1.3</v>
      </c>
    </row>
    <row r="30" spans="1:13" x14ac:dyDescent="0.3">
      <c r="A30">
        <v>26</v>
      </c>
      <c r="B30" t="str">
        <f t="shared" si="0"/>
        <v>2</v>
      </c>
      <c r="C30" s="2" t="s">
        <v>5</v>
      </c>
      <c r="D30" s="13">
        <f t="shared" si="1"/>
        <v>2</v>
      </c>
      <c r="E30" s="5">
        <v>5.0999999999999996</v>
      </c>
      <c r="F30" s="5">
        <v>2.9</v>
      </c>
      <c r="G30" s="2">
        <v>0</v>
      </c>
      <c r="H30" s="2">
        <v>0</v>
      </c>
      <c r="I30" s="2">
        <v>0</v>
      </c>
      <c r="J30" s="9">
        <v>21.9</v>
      </c>
      <c r="K30" s="9">
        <v>29.9</v>
      </c>
      <c r="L30" s="9">
        <v>43.1</v>
      </c>
      <c r="M30" s="9">
        <v>21.8</v>
      </c>
    </row>
    <row r="31" spans="1:13" x14ac:dyDescent="0.3">
      <c r="A31">
        <v>27</v>
      </c>
      <c r="B31" t="str">
        <f t="shared" si="0"/>
        <v>2</v>
      </c>
      <c r="C31" s="1" t="s">
        <v>23</v>
      </c>
      <c r="D31" s="13">
        <f t="shared" si="1"/>
        <v>2</v>
      </c>
      <c r="E31" s="4">
        <v>23</v>
      </c>
      <c r="F31" s="4">
        <v>25.3</v>
      </c>
      <c r="G31" s="1">
        <v>0.9</v>
      </c>
      <c r="H31" s="1">
        <v>0.9</v>
      </c>
      <c r="I31" s="1">
        <v>0.9</v>
      </c>
      <c r="J31" s="8">
        <v>28.2</v>
      </c>
      <c r="K31" s="8">
        <v>26.2</v>
      </c>
      <c r="L31" s="8">
        <v>28.4</v>
      </c>
      <c r="M31" s="8">
        <v>29.3</v>
      </c>
    </row>
    <row r="32" spans="1:13" x14ac:dyDescent="0.3">
      <c r="A32">
        <v>28</v>
      </c>
      <c r="B32" t="str">
        <f t="shared" si="0"/>
        <v>2</v>
      </c>
      <c r="C32" s="2" t="s">
        <v>24</v>
      </c>
      <c r="D32" s="13">
        <f t="shared" si="1"/>
        <v>2</v>
      </c>
      <c r="E32" s="5">
        <v>19.399999999999999</v>
      </c>
      <c r="F32" s="5">
        <v>29.6</v>
      </c>
      <c r="G32" s="2">
        <v>4.3</v>
      </c>
      <c r="H32" s="2">
        <v>4.3</v>
      </c>
      <c r="I32" s="2">
        <v>4.3</v>
      </c>
      <c r="J32" s="9">
        <v>35.700000000000003</v>
      </c>
      <c r="K32" s="9">
        <v>30.2</v>
      </c>
      <c r="L32" s="9">
        <v>47.4</v>
      </c>
      <c r="M32" s="9">
        <v>35.200000000000003</v>
      </c>
    </row>
    <row r="33" spans="1:13" x14ac:dyDescent="0.3">
      <c r="B33" t="str">
        <f t="shared" si="0"/>
        <v/>
      </c>
      <c r="C33" s="1" t="s">
        <v>25</v>
      </c>
      <c r="D33" s="13">
        <f t="shared" si="1"/>
        <v>0</v>
      </c>
      <c r="E33" s="4">
        <v>120.7</v>
      </c>
      <c r="F33" s="4">
        <v>132.9</v>
      </c>
      <c r="G33" s="1">
        <v>28</v>
      </c>
      <c r="H33" s="1">
        <v>27.8</v>
      </c>
      <c r="I33" s="1">
        <v>28.8</v>
      </c>
      <c r="J33" s="8">
        <v>168.7</v>
      </c>
      <c r="K33" s="8">
        <v>197.1</v>
      </c>
      <c r="L33" s="8">
        <v>275.5</v>
      </c>
      <c r="M33" s="8">
        <v>304.89999999999998</v>
      </c>
    </row>
    <row r="34" spans="1:13" x14ac:dyDescent="0.3">
      <c r="A34">
        <v>31</v>
      </c>
      <c r="B34" t="str">
        <f t="shared" si="0"/>
        <v>3</v>
      </c>
      <c r="C34" s="11" t="s">
        <v>26</v>
      </c>
      <c r="D34" s="13">
        <f t="shared" si="1"/>
        <v>2</v>
      </c>
      <c r="E34" s="5">
        <v>89.4</v>
      </c>
      <c r="F34" s="5">
        <v>96.6</v>
      </c>
      <c r="G34" s="2">
        <v>25.8</v>
      </c>
      <c r="H34" s="2">
        <v>25.1</v>
      </c>
      <c r="I34" s="2">
        <v>25.1</v>
      </c>
      <c r="J34" s="9">
        <v>95.3</v>
      </c>
      <c r="K34" s="9">
        <v>153.6</v>
      </c>
      <c r="L34" s="9">
        <v>232.8</v>
      </c>
      <c r="M34" s="9">
        <v>250.2</v>
      </c>
    </row>
    <row r="35" spans="1:13" x14ac:dyDescent="0.3">
      <c r="A35">
        <v>311</v>
      </c>
      <c r="B35" t="str">
        <f t="shared" si="0"/>
        <v>31</v>
      </c>
      <c r="C35" s="1" t="s">
        <v>27</v>
      </c>
      <c r="D35" s="13">
        <f t="shared" si="1"/>
        <v>3</v>
      </c>
      <c r="E35" s="4">
        <v>89.2</v>
      </c>
      <c r="F35" s="4">
        <v>96.1</v>
      </c>
      <c r="G35" s="1">
        <v>17.100000000000001</v>
      </c>
      <c r="H35" s="1">
        <v>79.3</v>
      </c>
      <c r="I35" s="1">
        <v>125</v>
      </c>
      <c r="J35" s="8">
        <v>95.1</v>
      </c>
      <c r="K35" s="8">
        <v>152</v>
      </c>
      <c r="L35" s="8">
        <v>229.3</v>
      </c>
      <c r="M35" s="8">
        <v>248.5</v>
      </c>
    </row>
    <row r="36" spans="1:13" x14ac:dyDescent="0.3">
      <c r="A36">
        <v>3111</v>
      </c>
      <c r="B36" t="str">
        <f t="shared" si="0"/>
        <v>311</v>
      </c>
      <c r="C36" s="6" t="s">
        <v>28</v>
      </c>
      <c r="D36" s="13">
        <f t="shared" si="1"/>
        <v>4</v>
      </c>
      <c r="E36" s="5">
        <v>55.6</v>
      </c>
      <c r="F36" s="5">
        <v>26.6</v>
      </c>
      <c r="G36" s="2">
        <v>54.5</v>
      </c>
      <c r="H36" s="2">
        <v>71.900000000000006</v>
      </c>
      <c r="I36" s="2">
        <v>97.1</v>
      </c>
      <c r="J36" s="9">
        <v>47.6</v>
      </c>
      <c r="K36" s="9">
        <v>107.7</v>
      </c>
      <c r="L36" s="9">
        <v>162.9</v>
      </c>
      <c r="M36" s="9">
        <v>203.1</v>
      </c>
    </row>
    <row r="37" spans="1:13" x14ac:dyDescent="0.3">
      <c r="A37">
        <v>3112</v>
      </c>
      <c r="B37" t="str">
        <f t="shared" si="0"/>
        <v>311</v>
      </c>
      <c r="C37" s="7" t="s">
        <v>29</v>
      </c>
      <c r="D37" s="13">
        <f t="shared" si="1"/>
        <v>4</v>
      </c>
      <c r="E37" s="4">
        <v>19.399999999999999</v>
      </c>
      <c r="F37" s="4">
        <v>63.8</v>
      </c>
      <c r="G37" s="1">
        <v>53.1</v>
      </c>
      <c r="H37" s="1">
        <v>70.900000000000006</v>
      </c>
      <c r="I37" s="1">
        <v>96.1</v>
      </c>
      <c r="J37" s="8">
        <v>43.7</v>
      </c>
      <c r="K37" s="8">
        <v>37.799999999999997</v>
      </c>
      <c r="L37" s="8">
        <v>33</v>
      </c>
      <c r="M37" s="8">
        <v>33.9</v>
      </c>
    </row>
    <row r="38" spans="1:13" x14ac:dyDescent="0.3">
      <c r="A38">
        <v>3113</v>
      </c>
      <c r="B38" t="str">
        <f t="shared" si="0"/>
        <v>311</v>
      </c>
      <c r="C38" s="12" t="s">
        <v>30</v>
      </c>
      <c r="D38" s="13">
        <f t="shared" si="1"/>
        <v>4</v>
      </c>
      <c r="E38" s="5">
        <v>14.2</v>
      </c>
      <c r="F38" s="5">
        <v>29.6</v>
      </c>
      <c r="G38" s="2">
        <v>30</v>
      </c>
      <c r="H38" s="2">
        <v>35.200000000000003</v>
      </c>
      <c r="I38" s="2">
        <v>47.8</v>
      </c>
      <c r="J38" s="9">
        <v>3.7</v>
      </c>
      <c r="K38" s="9">
        <v>6.5</v>
      </c>
      <c r="L38" s="9">
        <v>33.4</v>
      </c>
      <c r="M38" s="9">
        <v>11.4</v>
      </c>
    </row>
    <row r="39" spans="1:13" x14ac:dyDescent="0.3">
      <c r="A39">
        <v>314</v>
      </c>
      <c r="B39" t="str">
        <f t="shared" si="0"/>
        <v>31</v>
      </c>
      <c r="C39" s="1" t="s">
        <v>31</v>
      </c>
      <c r="D39" s="13">
        <f t="shared" si="1"/>
        <v>3</v>
      </c>
      <c r="E39" s="4">
        <v>0.1</v>
      </c>
      <c r="F39" s="4">
        <v>0.5</v>
      </c>
      <c r="G39" s="1">
        <v>16.7</v>
      </c>
      <c r="H39" s="1">
        <v>16.7</v>
      </c>
      <c r="I39" s="1">
        <v>17.5</v>
      </c>
      <c r="J39" s="8">
        <v>0.2</v>
      </c>
      <c r="K39" s="8">
        <v>1.6</v>
      </c>
      <c r="L39" s="8">
        <v>3.5</v>
      </c>
      <c r="M39" s="8">
        <v>1.7</v>
      </c>
    </row>
    <row r="40" spans="1:13" x14ac:dyDescent="0.3">
      <c r="B40" t="str">
        <f t="shared" si="0"/>
        <v/>
      </c>
      <c r="C40" s="11" t="s">
        <v>32</v>
      </c>
      <c r="D40" s="13">
        <f t="shared" si="1"/>
        <v>0</v>
      </c>
      <c r="E40" s="5">
        <v>0.1</v>
      </c>
      <c r="F40" s="5">
        <v>36.299999999999997</v>
      </c>
      <c r="G40" s="2">
        <v>9.8000000000000007</v>
      </c>
      <c r="H40" s="2">
        <v>17.899999999999999</v>
      </c>
      <c r="I40" s="2">
        <v>29.8</v>
      </c>
      <c r="J40" s="9">
        <v>0.2</v>
      </c>
      <c r="K40" s="9">
        <v>1.6</v>
      </c>
      <c r="L40" s="9">
        <v>3.5</v>
      </c>
      <c r="M40" s="9">
        <v>1.7</v>
      </c>
    </row>
    <row r="41" spans="1:13" x14ac:dyDescent="0.3">
      <c r="B41" t="str">
        <f t="shared" si="0"/>
        <v/>
      </c>
      <c r="C41" s="1" t="s">
        <v>50</v>
      </c>
      <c r="D41" s="13">
        <f t="shared" si="1"/>
        <v>0</v>
      </c>
      <c r="E41" s="4">
        <v>31.4</v>
      </c>
      <c r="F41" s="4"/>
      <c r="G41" s="1">
        <v>1.3</v>
      </c>
      <c r="H41" s="1">
        <v>1</v>
      </c>
      <c r="I41" s="1">
        <v>1</v>
      </c>
      <c r="J41" s="8">
        <v>73.400000000000006</v>
      </c>
      <c r="K41" s="8">
        <v>43.6</v>
      </c>
      <c r="L41" s="8">
        <v>42.8</v>
      </c>
      <c r="M41" s="8">
        <v>54.9</v>
      </c>
    </row>
    <row r="42" spans="1:13" x14ac:dyDescent="0.3">
      <c r="B42" t="str">
        <f t="shared" si="0"/>
        <v/>
      </c>
      <c r="C42" s="2"/>
      <c r="D42" s="13">
        <f t="shared" si="1"/>
        <v>0</v>
      </c>
      <c r="E42" s="5">
        <v>11.8</v>
      </c>
      <c r="F42" s="5">
        <v>36.299999999999997</v>
      </c>
      <c r="G42" s="2">
        <v>-37.4</v>
      </c>
      <c r="H42" s="2">
        <v>7.4</v>
      </c>
      <c r="I42" s="2">
        <v>27.9</v>
      </c>
      <c r="J42" s="9">
        <v>-73.400000000000006</v>
      </c>
      <c r="K42" s="9">
        <v>-43.6</v>
      </c>
      <c r="L42" s="9">
        <v>-42.8</v>
      </c>
      <c r="M42" s="9">
        <v>-54.9</v>
      </c>
    </row>
    <row r="43" spans="1:13" x14ac:dyDescent="0.3">
      <c r="A43">
        <v>32</v>
      </c>
      <c r="B43" t="str">
        <f t="shared" si="0"/>
        <v>3</v>
      </c>
      <c r="C43" s="1" t="s">
        <v>33</v>
      </c>
      <c r="D43" s="13">
        <f t="shared" si="1"/>
        <v>2</v>
      </c>
      <c r="E43" s="4">
        <v>17.2</v>
      </c>
      <c r="F43" s="4">
        <v>22.9</v>
      </c>
      <c r="G43" s="1"/>
      <c r="H43" s="1"/>
      <c r="I43" s="1"/>
      <c r="J43" s="8">
        <v>-74.099999999999994</v>
      </c>
      <c r="K43" s="8">
        <v>1.2</v>
      </c>
      <c r="L43" s="8">
        <v>4.2</v>
      </c>
      <c r="M43" s="8">
        <v>-6.2</v>
      </c>
    </row>
    <row r="44" spans="1:13" x14ac:dyDescent="0.3">
      <c r="A44">
        <v>321</v>
      </c>
      <c r="B44" t="str">
        <f t="shared" si="0"/>
        <v>32</v>
      </c>
      <c r="C44" s="2" t="s">
        <v>34</v>
      </c>
      <c r="D44" s="13">
        <f t="shared" si="1"/>
        <v>3</v>
      </c>
      <c r="E44" s="5">
        <v>17.2</v>
      </c>
      <c r="F44" s="5">
        <v>22.9</v>
      </c>
      <c r="G44" s="2">
        <v>-37.4</v>
      </c>
      <c r="H44" s="2">
        <v>7.4</v>
      </c>
      <c r="I44" s="2">
        <v>27.9</v>
      </c>
      <c r="J44" s="9">
        <v>-74.099999999999994</v>
      </c>
      <c r="K44" s="9">
        <v>1.2</v>
      </c>
      <c r="L44" s="9">
        <v>4.2</v>
      </c>
      <c r="M44" s="9">
        <v>-6.2</v>
      </c>
    </row>
    <row r="45" spans="1:13" x14ac:dyDescent="0.3">
      <c r="B45" t="str">
        <f t="shared" si="0"/>
        <v/>
      </c>
      <c r="C45" s="1" t="s">
        <v>35</v>
      </c>
      <c r="D45" s="13">
        <f t="shared" si="1"/>
        <v>0</v>
      </c>
      <c r="E45" s="4">
        <v>-5.4</v>
      </c>
      <c r="F45" s="4">
        <v>15.8</v>
      </c>
      <c r="G45" s="1">
        <v>-20.100000000000001</v>
      </c>
      <c r="H45" s="1">
        <v>5.7</v>
      </c>
      <c r="I45" s="1">
        <v>25.9</v>
      </c>
      <c r="J45" s="8">
        <v>-65.3</v>
      </c>
      <c r="K45" s="8">
        <v>-0.8</v>
      </c>
      <c r="L45" s="8">
        <v>0</v>
      </c>
      <c r="M45" s="8">
        <v>0</v>
      </c>
    </row>
    <row r="46" spans="1:13" x14ac:dyDescent="0.3">
      <c r="A46">
        <v>3214</v>
      </c>
      <c r="B46" t="str">
        <f t="shared" si="0"/>
        <v>321</v>
      </c>
      <c r="C46" s="2" t="s">
        <v>36</v>
      </c>
      <c r="D46" s="13">
        <f t="shared" si="1"/>
        <v>4</v>
      </c>
      <c r="E46" s="5">
        <v>1.1000000000000001</v>
      </c>
      <c r="F46" s="5">
        <v>7.1</v>
      </c>
      <c r="G46" s="2">
        <v>-20.100000000000001</v>
      </c>
      <c r="H46" s="2">
        <v>-5.7</v>
      </c>
      <c r="I46" s="2">
        <v>-25.9</v>
      </c>
      <c r="J46" s="9">
        <v>0.4</v>
      </c>
      <c r="K46" s="9">
        <v>8</v>
      </c>
      <c r="L46" s="9">
        <v>13.4</v>
      </c>
      <c r="M46" s="9">
        <v>3</v>
      </c>
    </row>
    <row r="47" spans="1:13" x14ac:dyDescent="0.3">
      <c r="A47">
        <v>322</v>
      </c>
      <c r="B47" t="str">
        <f t="shared" si="0"/>
        <v>32</v>
      </c>
      <c r="C47" s="1" t="s">
        <v>37</v>
      </c>
      <c r="D47" s="13">
        <f t="shared" si="1"/>
        <v>3</v>
      </c>
      <c r="E47" s="4">
        <v>-6.5</v>
      </c>
      <c r="F47" s="4">
        <v>0</v>
      </c>
      <c r="G47" s="1">
        <v>-19.8</v>
      </c>
      <c r="H47" s="1">
        <v>-5.4</v>
      </c>
      <c r="I47" s="1">
        <v>-25.6</v>
      </c>
      <c r="J47" s="8">
        <v>-9.3000000000000007</v>
      </c>
      <c r="K47" s="8">
        <v>-5.9</v>
      </c>
      <c r="L47" s="8">
        <v>-9.1999999999999993</v>
      </c>
      <c r="M47" s="8">
        <v>-9.1999999999999993</v>
      </c>
    </row>
    <row r="48" spans="1:13" x14ac:dyDescent="0.3">
      <c r="A48">
        <v>33</v>
      </c>
      <c r="B48" t="str">
        <f t="shared" si="0"/>
        <v>3</v>
      </c>
      <c r="C48" s="2" t="s">
        <v>38</v>
      </c>
      <c r="D48" s="13">
        <f t="shared" si="1"/>
        <v>2</v>
      </c>
      <c r="E48" s="2">
        <v>7.1</v>
      </c>
      <c r="F48" s="5">
        <v>13.4</v>
      </c>
      <c r="G48" s="2">
        <v>-0.7</v>
      </c>
      <c r="H48" s="2">
        <v>-0.7</v>
      </c>
      <c r="I48" s="2">
        <v>-0.7</v>
      </c>
      <c r="J48" s="9">
        <v>0.7</v>
      </c>
      <c r="K48" s="9">
        <v>-44.8</v>
      </c>
      <c r="L48" s="9">
        <v>-46.9</v>
      </c>
      <c r="M48" s="9">
        <v>-48.7</v>
      </c>
    </row>
    <row r="49" spans="1:13" x14ac:dyDescent="0.3">
      <c r="A49">
        <v>331</v>
      </c>
      <c r="B49" t="str">
        <f t="shared" si="0"/>
        <v>33</v>
      </c>
      <c r="C49" s="1" t="s">
        <v>34</v>
      </c>
      <c r="D49" s="13">
        <f t="shared" si="1"/>
        <v>3</v>
      </c>
      <c r="E49" s="1">
        <v>0</v>
      </c>
      <c r="F49" s="4">
        <v>0</v>
      </c>
      <c r="G49" s="1">
        <v>0.4</v>
      </c>
      <c r="H49" s="1">
        <v>0.4</v>
      </c>
      <c r="I49" s="1">
        <v>0.4</v>
      </c>
      <c r="J49" s="8">
        <v>0</v>
      </c>
      <c r="K49" s="8">
        <v>3</v>
      </c>
      <c r="L49" s="8">
        <v>-0.8</v>
      </c>
      <c r="M49" s="8">
        <v>1.4</v>
      </c>
    </row>
    <row r="50" spans="1:13" x14ac:dyDescent="0.3">
      <c r="A50">
        <v>3314</v>
      </c>
      <c r="B50" t="str">
        <f t="shared" si="0"/>
        <v>331</v>
      </c>
      <c r="C50" s="2" t="s">
        <v>36</v>
      </c>
      <c r="D50" s="13">
        <f t="shared" si="1"/>
        <v>4</v>
      </c>
      <c r="E50" s="2">
        <v>13.4</v>
      </c>
      <c r="F50" s="5">
        <v>15.2</v>
      </c>
      <c r="G50" s="2">
        <v>-17.2</v>
      </c>
      <c r="H50" s="2">
        <v>1.7</v>
      </c>
      <c r="I50" s="2">
        <v>2</v>
      </c>
      <c r="J50" s="9">
        <v>15.1</v>
      </c>
      <c r="K50" s="9">
        <v>15</v>
      </c>
      <c r="L50" s="9">
        <v>15</v>
      </c>
      <c r="M50" s="9">
        <v>15</v>
      </c>
    </row>
    <row r="51" spans="1:13" x14ac:dyDescent="0.3">
      <c r="B51" t="str">
        <f t="shared" si="0"/>
        <v/>
      </c>
      <c r="C51" s="1" t="s">
        <v>39</v>
      </c>
      <c r="D51" s="13">
        <f t="shared" si="1"/>
        <v>0</v>
      </c>
      <c r="E51" s="1">
        <v>0</v>
      </c>
      <c r="F51" s="4">
        <v>15.2</v>
      </c>
      <c r="G51" s="1">
        <v>20.9</v>
      </c>
      <c r="H51" s="1">
        <v>20.9</v>
      </c>
      <c r="I51" s="1">
        <v>20.9</v>
      </c>
      <c r="J51" s="8">
        <v>15.1</v>
      </c>
      <c r="K51" s="8">
        <v>12</v>
      </c>
      <c r="L51" s="8">
        <v>15.8</v>
      </c>
      <c r="M51" s="8">
        <v>13.6</v>
      </c>
    </row>
    <row r="52" spans="1:13" x14ac:dyDescent="0.3">
      <c r="A52">
        <v>332</v>
      </c>
      <c r="B52" t="str">
        <f t="shared" si="0"/>
        <v>33</v>
      </c>
      <c r="C52" s="2" t="s">
        <v>40</v>
      </c>
      <c r="D52" s="13">
        <f t="shared" si="1"/>
        <v>3</v>
      </c>
      <c r="E52" s="2">
        <v>15.2</v>
      </c>
      <c r="F52" s="5">
        <v>-13.4</v>
      </c>
      <c r="G52" s="2">
        <v>35.9</v>
      </c>
      <c r="H52" s="2">
        <v>31.8</v>
      </c>
      <c r="I52" s="2">
        <v>30.9</v>
      </c>
      <c r="J52" s="9">
        <v>0.7</v>
      </c>
      <c r="K52" s="9">
        <v>-47.8</v>
      </c>
      <c r="L52" s="9">
        <v>-46.1</v>
      </c>
      <c r="M52" s="9">
        <v>-50.1</v>
      </c>
    </row>
    <row r="53" spans="1:13" x14ac:dyDescent="0.3">
      <c r="A53">
        <v>3324</v>
      </c>
      <c r="B53" t="str">
        <f t="shared" si="0"/>
        <v>332</v>
      </c>
      <c r="C53" s="1" t="s">
        <v>36</v>
      </c>
      <c r="D53" s="13">
        <f t="shared" si="1"/>
        <v>4</v>
      </c>
      <c r="E53" s="1">
        <v>15.2</v>
      </c>
      <c r="F53" s="4">
        <v>0</v>
      </c>
      <c r="G53" s="1">
        <v>15</v>
      </c>
      <c r="H53" s="1">
        <v>10.9</v>
      </c>
      <c r="I53" s="1">
        <v>10</v>
      </c>
      <c r="J53" s="8">
        <v>21</v>
      </c>
      <c r="K53" s="8" t="s">
        <v>49</v>
      </c>
      <c r="L53" s="8" t="s">
        <v>49</v>
      </c>
      <c r="M53" s="8" t="s">
        <v>49</v>
      </c>
    </row>
    <row r="54" spans="1:13" x14ac:dyDescent="0.3">
      <c r="A54">
        <v>3328</v>
      </c>
      <c r="B54" t="str">
        <f t="shared" si="0"/>
        <v>332</v>
      </c>
      <c r="C54" s="2" t="s">
        <v>39</v>
      </c>
      <c r="D54" s="13">
        <f t="shared" si="1"/>
        <v>4</v>
      </c>
      <c r="E54" s="2">
        <v>-13.4</v>
      </c>
      <c r="F54" s="5">
        <v>-13.4</v>
      </c>
      <c r="G54" s="2">
        <v>-3.7</v>
      </c>
      <c r="H54" s="2">
        <v>-22.6</v>
      </c>
      <c r="I54" s="2">
        <v>-22.9</v>
      </c>
      <c r="J54" s="10">
        <v>20.3</v>
      </c>
      <c r="K54" s="10">
        <v>47.8</v>
      </c>
      <c r="L54" s="10">
        <v>46.1</v>
      </c>
      <c r="M54" s="10">
        <v>50.1</v>
      </c>
    </row>
    <row r="55" spans="1:13" x14ac:dyDescent="0.3">
      <c r="E55" s="1">
        <v>0</v>
      </c>
      <c r="F55" s="1">
        <v>0</v>
      </c>
      <c r="G55" s="1">
        <v>19</v>
      </c>
      <c r="H55" s="1">
        <v>0</v>
      </c>
      <c r="I55" s="1">
        <v>0</v>
      </c>
    </row>
    <row r="56" spans="1:13" x14ac:dyDescent="0.3">
      <c r="E56" s="2">
        <v>-13.4</v>
      </c>
      <c r="F56" s="2">
        <v>-11.2</v>
      </c>
      <c r="G56" s="2">
        <v>-22.7</v>
      </c>
      <c r="H56" s="2">
        <v>-22.6</v>
      </c>
      <c r="I56" s="2">
        <v>-22.9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AA5084-E8E5-4A96-925D-93D1FB4B46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Moeaki</dc:creator>
  <cp:lastModifiedBy>Antonio Moeaki</cp:lastModifiedBy>
  <dcterms:created xsi:type="dcterms:W3CDTF">2026-08-17T03:17:24Z</dcterms:created>
  <dcterms:modified xsi:type="dcterms:W3CDTF">2026-08-17T23:17:28Z</dcterms:modified>
</cp:coreProperties>
</file>